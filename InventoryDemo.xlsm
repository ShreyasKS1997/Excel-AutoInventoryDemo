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20055" windowHeight="7950"/>
  </bookViews>
  <sheets>
    <sheet name="Home" sheetId="1" r:id="rId1"/>
    <sheet name="Purchase" sheetId="2" r:id="rId2"/>
    <sheet name="Sale" sheetId="3" r:id="rId3"/>
    <sheet name="Stock" sheetId="4" r:id="rId4"/>
  </sheets>
  <definedNames>
    <definedName name="_xlnm._FilterDatabase" localSheetId="1" hidden="1">Purchase!$E$6:$E$8</definedName>
    <definedName name="_xlnm.Criteria" localSheetId="3">Stock!$I$6:$I$7</definedName>
    <definedName name="_xlnm.Extract" localSheetId="3">Stock!$C$6</definedName>
    <definedName name="itemlist">Table3[Item]</definedName>
  </definedNames>
  <calcPr calcId="124519"/>
</workbook>
</file>

<file path=xl/calcChain.xml><?xml version="1.0" encoding="utf-8"?>
<calcChain xmlns="http://schemas.openxmlformats.org/spreadsheetml/2006/main">
  <c r="D12" i="4"/>
  <c r="D13"/>
  <c r="D14"/>
  <c r="D15"/>
  <c r="D16"/>
  <c r="D17"/>
  <c r="D18"/>
  <c r="D19"/>
  <c r="D20"/>
  <c r="D21"/>
  <c r="D22"/>
  <c r="D23"/>
  <c r="E12"/>
  <c r="E13"/>
  <c r="E14"/>
  <c r="E15"/>
  <c r="E16"/>
  <c r="F16" s="1"/>
  <c r="E17"/>
  <c r="E18"/>
  <c r="E19"/>
  <c r="E20"/>
  <c r="E21"/>
  <c r="E22"/>
  <c r="E23"/>
  <c r="D11"/>
  <c r="E11"/>
  <c r="E6" i="1"/>
  <c r="E7" i="4"/>
  <c r="E8"/>
  <c r="E9"/>
  <c r="E10"/>
  <c r="D7"/>
  <c r="D8"/>
  <c r="D9"/>
  <c r="D10"/>
  <c r="I7"/>
  <c r="F18" l="1"/>
  <c r="F23"/>
  <c r="F15"/>
  <c r="F20"/>
  <c r="F12"/>
  <c r="F17"/>
  <c r="F19"/>
  <c r="F21"/>
  <c r="F13"/>
  <c r="F14"/>
  <c r="F22"/>
  <c r="F11"/>
  <c r="F11" i="1" s="1"/>
  <c r="F7" i="4"/>
  <c r="F9"/>
  <c r="F10"/>
  <c r="F8"/>
</calcChain>
</file>

<file path=xl/sharedStrings.xml><?xml version="1.0" encoding="utf-8"?>
<sst xmlns="http://schemas.openxmlformats.org/spreadsheetml/2006/main" count="27" uniqueCount="20">
  <si>
    <t>Entry Type:</t>
  </si>
  <si>
    <t>Last Billed:</t>
  </si>
  <si>
    <t>Bill No :</t>
  </si>
  <si>
    <t>Date :</t>
  </si>
  <si>
    <t>Item :</t>
  </si>
  <si>
    <t>Qty :</t>
  </si>
  <si>
    <t>Rate :</t>
  </si>
  <si>
    <t>Bill No</t>
  </si>
  <si>
    <t>Date</t>
  </si>
  <si>
    <t>Item</t>
  </si>
  <si>
    <t>Qty</t>
  </si>
  <si>
    <t>Rate</t>
  </si>
  <si>
    <t>P Qty</t>
  </si>
  <si>
    <t>S Qty</t>
  </si>
  <si>
    <t>Stock</t>
  </si>
  <si>
    <t>item</t>
  </si>
  <si>
    <t>Purchase and Sale Entry</t>
  </si>
  <si>
    <t>Puchase Entry</t>
  </si>
  <si>
    <t>Sale Entry</t>
  </si>
  <si>
    <t>Purchase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</si>
</sst>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u/>
      <sz val="11"/>
      <color theme="10"/>
      <name val="Calibri"/>
      <family val="2"/>
    </font>
    <font>
      <u/>
      <sz val="11"/>
      <color theme="1" tint="0.34998626667073579"/>
      <name val="Calibri"/>
      <family val="2"/>
    </font>
    <font>
      <sz val="7"/>
      <color theme="1" tint="0.34998626667073579"/>
      <name val="Wingdings 3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/>
    <xf numFmtId="0" fontId="0" fillId="0" borderId="1" xfId="0" applyBorder="1" applyAlignment="1">
      <alignment horizontal="right" vertical="center"/>
    </xf>
    <xf numFmtId="0" fontId="0" fillId="0" borderId="0" xfId="0" applyNumberFormat="1"/>
    <xf numFmtId="0" fontId="0" fillId="0" borderId="0" xfId="0" applyFill="1"/>
    <xf numFmtId="0" fontId="0" fillId="2" borderId="5" xfId="0" applyFill="1" applyBorder="1" applyAlignment="1">
      <alignment horizontal="right" vertical="center"/>
    </xf>
    <xf numFmtId="0" fontId="0" fillId="4" borderId="0" xfId="0" applyFill="1"/>
    <xf numFmtId="0" fontId="0" fillId="4" borderId="1" xfId="0" applyFill="1" applyBorder="1" applyAlignment="1">
      <alignment horizontal="right" vertical="center"/>
    </xf>
    <xf numFmtId="0" fontId="0" fillId="5" borderId="7" xfId="0" applyFill="1" applyBorder="1" applyAlignment="1">
      <alignment horizontal="right" vertical="center"/>
    </xf>
    <xf numFmtId="0" fontId="0" fillId="5" borderId="9" xfId="0" applyFill="1" applyBorder="1" applyAlignment="1">
      <alignment horizontal="right"/>
    </xf>
    <xf numFmtId="0" fontId="0" fillId="3" borderId="0" xfId="0" applyFill="1"/>
    <xf numFmtId="0" fontId="0" fillId="3" borderId="1" xfId="0" applyFill="1" applyBorder="1"/>
    <xf numFmtId="0" fontId="0" fillId="3" borderId="8" xfId="0" applyFill="1" applyBorder="1"/>
    <xf numFmtId="0" fontId="0" fillId="7" borderId="1" xfId="0" applyFill="1" applyBorder="1" applyAlignment="1">
      <alignment horizontal="right" vertical="center"/>
    </xf>
    <xf numFmtId="14" fontId="0" fillId="7" borderId="1" xfId="0" applyNumberFormat="1" applyFill="1" applyBorder="1" applyAlignment="1">
      <alignment horizontal="right" vertical="center"/>
    </xf>
    <xf numFmtId="0" fontId="1" fillId="4" borderId="0" xfId="0" applyFont="1" applyFill="1"/>
    <xf numFmtId="0" fontId="0" fillId="0" borderId="1" xfId="0" applyNumberFormat="1" applyBorder="1" applyAlignment="1">
      <alignment horizontal="right"/>
    </xf>
    <xf numFmtId="0" fontId="0" fillId="0" borderId="1" xfId="0" applyNumberFormat="1" applyBorder="1"/>
    <xf numFmtId="0" fontId="0" fillId="0" borderId="1" xfId="0" applyBorder="1"/>
    <xf numFmtId="0" fontId="0" fillId="2" borderId="10" xfId="0" applyFill="1" applyBorder="1" applyAlignment="1">
      <alignment horizontal="right"/>
    </xf>
    <xf numFmtId="0" fontId="3" fillId="0" borderId="0" xfId="1" applyAlignment="1" applyProtection="1"/>
    <xf numFmtId="0" fontId="4" fillId="0" borderId="0" xfId="1" applyFont="1" applyAlignment="1" applyProtection="1"/>
    <xf numFmtId="0" fontId="5" fillId="8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Purchas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Home!A1"/><Relationship Id="rId1" Type="http://schemas.openxmlformats.org/officeDocument/2006/relationships/hyperlink" Target="#Purchas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Sale!A1"/><Relationship Id="rId1" Type="http://schemas.openxmlformats.org/officeDocument/2006/relationships/hyperlink" Target="#Purcha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13</xdr:row>
      <xdr:rowOff>1</xdr:rowOff>
    </xdr:from>
    <xdr:to>
      <xdr:col>3</xdr:col>
      <xdr:colOff>1</xdr:colOff>
      <xdr:row>15</xdr:row>
      <xdr:rowOff>1</xdr:rowOff>
    </xdr:to>
    <xdr:sp macro="[0]!p" textlink="">
      <xdr:nvSpPr>
        <xdr:cNvPr id="4" name="Rounded Rectangle 3"/>
        <xdr:cNvSpPr/>
      </xdr:nvSpPr>
      <xdr:spPr>
        <a:xfrm>
          <a:off x="1219201" y="2476501"/>
          <a:ext cx="1333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Purchase</a:t>
          </a:r>
          <a:r>
            <a:rPr lang="en-US" sz="1400" b="1" baseline="0"/>
            <a:t> Entry</a:t>
          </a:r>
          <a:endParaRPr lang="en-US" sz="1400" b="1"/>
        </a:p>
      </xdr:txBody>
    </xdr:sp>
    <xdr:clientData/>
  </xdr:twoCellAnchor>
  <xdr:twoCellAnchor>
    <xdr:from>
      <xdr:col>4</xdr:col>
      <xdr:colOff>1</xdr:colOff>
      <xdr:row>13</xdr:row>
      <xdr:rowOff>1</xdr:rowOff>
    </xdr:from>
    <xdr:to>
      <xdr:col>5</xdr:col>
      <xdr:colOff>1</xdr:colOff>
      <xdr:row>15</xdr:row>
      <xdr:rowOff>1</xdr:rowOff>
    </xdr:to>
    <xdr:sp macro="[0]!s" textlink="">
      <xdr:nvSpPr>
        <xdr:cNvPr id="5" name="Rounded Rectangle 4"/>
        <xdr:cNvSpPr/>
      </xdr:nvSpPr>
      <xdr:spPr>
        <a:xfrm>
          <a:off x="2676526" y="2476501"/>
          <a:ext cx="108585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Sale</a:t>
          </a:r>
          <a:r>
            <a:rPr lang="en-US" sz="1400" b="1" baseline="0"/>
            <a:t> Entry</a:t>
          </a:r>
          <a:endParaRPr lang="en-US" sz="1400" b="1"/>
        </a:p>
      </xdr:txBody>
    </xdr:sp>
    <xdr:clientData/>
  </xdr:twoCellAnchor>
  <xdr:twoCellAnchor>
    <xdr:from>
      <xdr:col>6</xdr:col>
      <xdr:colOff>200025</xdr:colOff>
      <xdr:row>4</xdr:row>
      <xdr:rowOff>19050</xdr:rowOff>
    </xdr:from>
    <xdr:to>
      <xdr:col>8</xdr:col>
      <xdr:colOff>314325</xdr:colOff>
      <xdr:row>6</xdr:row>
      <xdr:rowOff>19050</xdr:rowOff>
    </xdr:to>
    <xdr:sp macro="[0]!p" textlink="">
      <xdr:nvSpPr>
        <xdr:cNvPr id="6" name="Rounded Rectangle 5">
          <a:hlinkClick xmlns:r="http://schemas.openxmlformats.org/officeDocument/2006/relationships" r:id="rId1"/>
        </xdr:cNvPr>
        <xdr:cNvSpPr/>
      </xdr:nvSpPr>
      <xdr:spPr>
        <a:xfrm>
          <a:off x="4105275" y="790575"/>
          <a:ext cx="1333500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Purchase</a:t>
          </a:r>
        </a:p>
      </xdr:txBody>
    </xdr:sp>
    <xdr:clientData/>
  </xdr:twoCellAnchor>
  <xdr:twoCellAnchor>
    <xdr:from>
      <xdr:col>6</xdr:col>
      <xdr:colOff>200025</xdr:colOff>
      <xdr:row>7</xdr:row>
      <xdr:rowOff>19050</xdr:rowOff>
    </xdr:from>
    <xdr:to>
      <xdr:col>8</xdr:col>
      <xdr:colOff>314325</xdr:colOff>
      <xdr:row>9</xdr:row>
      <xdr:rowOff>19050</xdr:rowOff>
    </xdr:to>
    <xdr:sp macro="[0]!p" textlink="">
      <xdr:nvSpPr>
        <xdr:cNvPr id="7" name="Rounded Rectangle 6">
          <a:hlinkClick xmlns:r="http://schemas.openxmlformats.org/officeDocument/2006/relationships" r:id="rId2"/>
        </xdr:cNvPr>
        <xdr:cNvSpPr/>
      </xdr:nvSpPr>
      <xdr:spPr>
        <a:xfrm>
          <a:off x="4105275" y="1371600"/>
          <a:ext cx="1333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Sale</a:t>
          </a:r>
        </a:p>
      </xdr:txBody>
    </xdr:sp>
    <xdr:clientData/>
  </xdr:twoCellAnchor>
  <xdr:twoCellAnchor>
    <xdr:from>
      <xdr:col>6</xdr:col>
      <xdr:colOff>200025</xdr:colOff>
      <xdr:row>10</xdr:row>
      <xdr:rowOff>19050</xdr:rowOff>
    </xdr:from>
    <xdr:to>
      <xdr:col>8</xdr:col>
      <xdr:colOff>314325</xdr:colOff>
      <xdr:row>12</xdr:row>
      <xdr:rowOff>19050</xdr:rowOff>
    </xdr:to>
    <xdr:sp macro="[0]!p" textlink="">
      <xdr:nvSpPr>
        <xdr:cNvPr id="8" name="Rounded Rectangle 7">
          <a:hlinkClick xmlns:r="http://schemas.openxmlformats.org/officeDocument/2006/relationships" r:id="rId3"/>
        </xdr:cNvPr>
        <xdr:cNvSpPr/>
      </xdr:nvSpPr>
      <xdr:spPr>
        <a:xfrm>
          <a:off x="4105275" y="1943100"/>
          <a:ext cx="1333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Stock</a:t>
          </a:r>
        </a:p>
      </xdr:txBody>
    </xdr:sp>
    <xdr:clientData/>
  </xdr:twoCellAnchor>
  <xdr:twoCellAnchor>
    <xdr:from>
      <xdr:col>5</xdr:col>
      <xdr:colOff>51288</xdr:colOff>
      <xdr:row>4</xdr:row>
      <xdr:rowOff>60506</xdr:rowOff>
    </xdr:from>
    <xdr:to>
      <xdr:col>5</xdr:col>
      <xdr:colOff>97007</xdr:colOff>
      <xdr:row>4</xdr:row>
      <xdr:rowOff>138266</xdr:rowOff>
    </xdr:to>
    <xdr:sp macro="[0]!dd" textlink="">
      <xdr:nvSpPr>
        <xdr:cNvPr id="10" name="Down Arrow 9"/>
        <xdr:cNvSpPr/>
      </xdr:nvSpPr>
      <xdr:spPr>
        <a:xfrm>
          <a:off x="3781401" y="859377"/>
          <a:ext cx="45719" cy="777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0</xdr:rowOff>
    </xdr:from>
    <xdr:to>
      <xdr:col>10</xdr:col>
      <xdr:colOff>114300</xdr:colOff>
      <xdr:row>7</xdr:row>
      <xdr:rowOff>0</xdr:rowOff>
    </xdr:to>
    <xdr:sp macro="[0]!p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200650" y="952500"/>
          <a:ext cx="1333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Home</a:t>
          </a:r>
        </a:p>
      </xdr:txBody>
    </xdr:sp>
    <xdr:clientData/>
  </xdr:twoCellAnchor>
  <xdr:twoCellAnchor>
    <xdr:from>
      <xdr:col>8</xdr:col>
      <xdr:colOff>9525</xdr:colOff>
      <xdr:row>8</xdr:row>
      <xdr:rowOff>38100</xdr:rowOff>
    </xdr:from>
    <xdr:to>
      <xdr:col>10</xdr:col>
      <xdr:colOff>123825</xdr:colOff>
      <xdr:row>10</xdr:row>
      <xdr:rowOff>38100</xdr:rowOff>
    </xdr:to>
    <xdr:sp macro="[0]!p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4962525" y="1562100"/>
          <a:ext cx="1333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Sale</a:t>
          </a:r>
        </a:p>
      </xdr:txBody>
    </xdr:sp>
    <xdr:clientData/>
  </xdr:twoCellAnchor>
  <xdr:twoCellAnchor>
    <xdr:from>
      <xdr:col>8</xdr:col>
      <xdr:colOff>9525</xdr:colOff>
      <xdr:row>11</xdr:row>
      <xdr:rowOff>38100</xdr:rowOff>
    </xdr:from>
    <xdr:to>
      <xdr:col>10</xdr:col>
      <xdr:colOff>123825</xdr:colOff>
      <xdr:row>13</xdr:row>
      <xdr:rowOff>38100</xdr:rowOff>
    </xdr:to>
    <xdr:sp macro="[0]!p" textlink="">
      <xdr:nvSpPr>
        <xdr:cNvPr id="6" name="Rounded Rectangle 5">
          <a:hlinkClick xmlns:r="http://schemas.openxmlformats.org/officeDocument/2006/relationships" r:id="rId3"/>
        </xdr:cNvPr>
        <xdr:cNvSpPr/>
      </xdr:nvSpPr>
      <xdr:spPr>
        <a:xfrm>
          <a:off x="4962525" y="2133600"/>
          <a:ext cx="1333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Stock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0</xdr:rowOff>
    </xdr:from>
    <xdr:to>
      <xdr:col>10</xdr:col>
      <xdr:colOff>114300</xdr:colOff>
      <xdr:row>7</xdr:row>
      <xdr:rowOff>0</xdr:rowOff>
    </xdr:to>
    <xdr:sp macro="[0]!p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981575" y="952500"/>
          <a:ext cx="1333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Purchase</a:t>
          </a:r>
        </a:p>
      </xdr:txBody>
    </xdr:sp>
    <xdr:clientData/>
  </xdr:twoCellAnchor>
  <xdr:twoCellAnchor>
    <xdr:from>
      <xdr:col>8</xdr:col>
      <xdr:colOff>0</xdr:colOff>
      <xdr:row>8</xdr:row>
      <xdr:rowOff>38100</xdr:rowOff>
    </xdr:from>
    <xdr:to>
      <xdr:col>10</xdr:col>
      <xdr:colOff>114300</xdr:colOff>
      <xdr:row>10</xdr:row>
      <xdr:rowOff>38100</xdr:rowOff>
    </xdr:to>
    <xdr:sp macro="[0]!p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5114925" y="1562100"/>
          <a:ext cx="1333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Home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10</xdr:col>
      <xdr:colOff>114300</xdr:colOff>
      <xdr:row>13</xdr:row>
      <xdr:rowOff>95250</xdr:rowOff>
    </xdr:to>
    <xdr:sp macro="[0]!p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5114925" y="2190750"/>
          <a:ext cx="1333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Stock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5</xdr:row>
      <xdr:rowOff>0</xdr:rowOff>
    </xdr:from>
    <xdr:to>
      <xdr:col>10</xdr:col>
      <xdr:colOff>0</xdr:colOff>
      <xdr:row>7</xdr:row>
      <xdr:rowOff>0</xdr:rowOff>
    </xdr:to>
    <xdr:sp macro="[0]!ref" textlink="">
      <xdr:nvSpPr>
        <xdr:cNvPr id="2" name="Rounded Rectangle 1"/>
        <xdr:cNvSpPr/>
      </xdr:nvSpPr>
      <xdr:spPr>
        <a:xfrm>
          <a:off x="4733925" y="952500"/>
          <a:ext cx="19050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Refresh</a:t>
          </a:r>
        </a:p>
      </xdr:txBody>
    </xdr:sp>
    <xdr:clientData/>
  </xdr:twoCellAnchor>
  <xdr:twoCellAnchor>
    <xdr:from>
      <xdr:col>6</xdr:col>
      <xdr:colOff>295275</xdr:colOff>
      <xdr:row>8</xdr:row>
      <xdr:rowOff>0</xdr:rowOff>
    </xdr:from>
    <xdr:to>
      <xdr:col>8</xdr:col>
      <xdr:colOff>0</xdr:colOff>
      <xdr:row>10</xdr:row>
      <xdr:rowOff>0</xdr:rowOff>
    </xdr:to>
    <xdr:sp macro="[0]!p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695825" y="1524000"/>
          <a:ext cx="1333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Purchase</a:t>
          </a:r>
        </a:p>
      </xdr:txBody>
    </xdr:sp>
    <xdr:clientData/>
  </xdr:twoCellAnchor>
  <xdr:twoCellAnchor>
    <xdr:from>
      <xdr:col>6</xdr:col>
      <xdr:colOff>295275</xdr:colOff>
      <xdr:row>11</xdr:row>
      <xdr:rowOff>0</xdr:rowOff>
    </xdr:from>
    <xdr:to>
      <xdr:col>8</xdr:col>
      <xdr:colOff>0</xdr:colOff>
      <xdr:row>13</xdr:row>
      <xdr:rowOff>0</xdr:rowOff>
    </xdr:to>
    <xdr:sp macro="[0]!p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4695825" y="2095500"/>
          <a:ext cx="1333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Sale</a:t>
          </a:r>
        </a:p>
      </xdr:txBody>
    </xdr:sp>
    <xdr:clientData/>
  </xdr:twoCellAnchor>
  <xdr:twoCellAnchor>
    <xdr:from>
      <xdr:col>6</xdr:col>
      <xdr:colOff>295275</xdr:colOff>
      <xdr:row>14</xdr:row>
      <xdr:rowOff>0</xdr:rowOff>
    </xdr:from>
    <xdr:to>
      <xdr:col>8</xdr:col>
      <xdr:colOff>0</xdr:colOff>
      <xdr:row>16</xdr:row>
      <xdr:rowOff>0</xdr:rowOff>
    </xdr:to>
    <xdr:sp macro="[0]!p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4695825" y="2667000"/>
          <a:ext cx="1333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Home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C6:G8" totalsRowShown="0">
  <tableColumns count="5">
    <tableColumn id="1" name="Bill No"/>
    <tableColumn id="2" name="Date"/>
    <tableColumn id="3" name="Item"/>
    <tableColumn id="4" name="Qty"/>
    <tableColumn id="5" name="Rate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2" name="Table2" displayName="Table2" ref="C6:G8" totalsRowShown="0">
  <autoFilter ref="C6:G8"/>
  <tableColumns count="5">
    <tableColumn id="1" name="Bill No"/>
    <tableColumn id="2" name="Date"/>
    <tableColumn id="3" name="Item"/>
    <tableColumn id="4" name="Qty"/>
    <tableColumn id="5" name="Rate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3" name="Table3" displayName="Table3" ref="C6:F23" totalsRowShown="0">
  <tableColumns count="4">
    <tableColumn id="1" name="Item" dataDxfId="3"/>
    <tableColumn id="2" name="P Qty" dataDxfId="2">
      <calculatedColumnFormula>SUMIF(Table1[[#All],[Item]],Table3[[#This Row],[Item]],Table1[[#All],[Qty]])</calculatedColumnFormula>
    </tableColumn>
    <tableColumn id="3" name="S Qty" dataDxfId="1">
      <calculatedColumnFormula>SUMIF(Table2[[#All],[Item]],Table3[[#This Row],[Item]],Table2[[#All],[Qty]])</calculatedColumnFormula>
    </tableColumn>
    <tableColumn id="4" name="Stock" dataDxfId="0">
      <calculatedColumnFormula>Table3[[#This Row],[P Qty]]-Table3[[#This Row],[S Qty]]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Q16"/>
  <sheetViews>
    <sheetView showGridLines="0" tabSelected="1" workbookViewId="0">
      <selection activeCell="O5" sqref="O5"/>
    </sheetView>
  </sheetViews>
  <sheetFormatPr defaultRowHeight="15"/>
  <cols>
    <col min="3" max="3" width="20" customWidth="1"/>
    <col min="4" max="4" width="1.42578125" customWidth="1"/>
    <col min="5" max="5" width="16.28515625" customWidth="1"/>
    <col min="6" max="6" width="2.140625" customWidth="1"/>
    <col min="8" max="8" width="9.140625" customWidth="1"/>
  </cols>
  <sheetData>
    <row r="2" spans="2:17" ht="15.75" thickBot="1">
      <c r="B2" s="5"/>
      <c r="C2" s="5"/>
      <c r="D2" s="5"/>
      <c r="E2" s="5"/>
      <c r="F2" s="5"/>
      <c r="G2" s="5"/>
      <c r="H2" s="5"/>
      <c r="I2" s="5"/>
    </row>
    <row r="3" spans="2:17">
      <c r="B3" s="5"/>
      <c r="C3" s="22" t="s">
        <v>16</v>
      </c>
      <c r="D3" s="23"/>
      <c r="E3" s="24"/>
      <c r="F3" s="5"/>
      <c r="G3" s="5"/>
      <c r="H3" s="5"/>
      <c r="I3" s="5"/>
    </row>
    <row r="4" spans="2:17" ht="17.25" customHeight="1">
      <c r="B4" s="5"/>
      <c r="C4" s="25"/>
      <c r="D4" s="26"/>
      <c r="E4" s="27"/>
      <c r="F4" s="5"/>
      <c r="G4" s="5"/>
      <c r="H4" s="5"/>
      <c r="I4" s="5"/>
    </row>
    <row r="5" spans="2:17">
      <c r="B5" s="5"/>
      <c r="C5" s="4" t="s">
        <v>0</v>
      </c>
      <c r="D5" s="10"/>
      <c r="E5" s="18" t="s">
        <v>19</v>
      </c>
      <c r="F5" s="21"/>
      <c r="G5" s="5"/>
      <c r="H5" s="5"/>
      <c r="I5" s="5"/>
    </row>
    <row r="6" spans="2:17" ht="15.75" thickBot="1">
      <c r="B6" s="5"/>
      <c r="C6" s="7" t="s">
        <v>1</v>
      </c>
      <c r="D6" s="11"/>
      <c r="E6" s="8">
        <f>IF(E5="Purchase",MAX(Table1[Bill No]),MAX(Table2[Bill No]))</f>
        <v>0</v>
      </c>
      <c r="F6" s="5"/>
      <c r="G6" s="5"/>
      <c r="H6" s="5"/>
      <c r="I6" s="5"/>
    </row>
    <row r="7" spans="2:17">
      <c r="B7" s="5"/>
      <c r="C7" s="5"/>
      <c r="D7" s="5"/>
      <c r="E7" s="5"/>
      <c r="F7" s="5"/>
      <c r="G7" s="5"/>
      <c r="H7" s="5"/>
      <c r="I7" s="5"/>
    </row>
    <row r="8" spans="2:17">
      <c r="B8" s="5"/>
      <c r="C8" s="6" t="s">
        <v>2</v>
      </c>
      <c r="D8" s="9"/>
      <c r="E8" s="12"/>
      <c r="F8" s="5"/>
      <c r="G8" s="5"/>
      <c r="H8" s="5"/>
      <c r="I8" s="5"/>
    </row>
    <row r="9" spans="2:17">
      <c r="B9" s="5"/>
      <c r="C9" s="6" t="s">
        <v>3</v>
      </c>
      <c r="D9" s="9"/>
      <c r="E9" s="13"/>
      <c r="F9" s="5"/>
      <c r="G9" s="5"/>
      <c r="H9" s="5"/>
      <c r="I9" s="5"/>
      <c r="L9" s="20"/>
    </row>
    <row r="10" spans="2:17">
      <c r="B10" s="5"/>
      <c r="C10" s="6" t="s">
        <v>4</v>
      </c>
      <c r="D10" s="9"/>
      <c r="E10" s="12"/>
      <c r="F10" s="5"/>
      <c r="G10" s="5"/>
      <c r="H10" s="5"/>
      <c r="I10" s="5"/>
    </row>
    <row r="11" spans="2:17">
      <c r="B11" s="5"/>
      <c r="C11" s="6" t="s">
        <v>5</v>
      </c>
      <c r="D11" s="9"/>
      <c r="E11" s="12"/>
      <c r="F11" s="14" t="str">
        <f>IFERROR(IF(E5="Sale",IF(VLOOKUP(E10,Table3[#All],4,0)&lt;E11,"Out of Stock",""),""),"")</f>
        <v/>
      </c>
      <c r="G11" s="5"/>
      <c r="H11" s="5"/>
      <c r="I11" s="5"/>
      <c r="Q11" s="19"/>
    </row>
    <row r="12" spans="2:17">
      <c r="B12" s="5"/>
      <c r="C12" s="6" t="s">
        <v>6</v>
      </c>
      <c r="D12" s="9"/>
      <c r="E12" s="12"/>
      <c r="F12" s="5"/>
      <c r="G12" s="5"/>
      <c r="H12" s="5"/>
      <c r="I12" s="5"/>
    </row>
    <row r="13" spans="2:17">
      <c r="B13" s="5"/>
      <c r="C13" s="5"/>
      <c r="D13" s="5"/>
      <c r="E13" s="5"/>
      <c r="F13" s="5"/>
      <c r="G13" s="5"/>
      <c r="H13" s="5"/>
      <c r="I13" s="5"/>
    </row>
    <row r="14" spans="2:17">
      <c r="B14" s="5"/>
      <c r="C14" s="5"/>
      <c r="D14" s="5"/>
      <c r="E14" s="5"/>
      <c r="F14" s="5"/>
      <c r="G14" s="5"/>
      <c r="H14" s="5"/>
      <c r="I14" s="5"/>
    </row>
    <row r="15" spans="2:17">
      <c r="B15" s="5"/>
      <c r="C15" s="5"/>
      <c r="D15" s="5"/>
      <c r="E15" s="5"/>
      <c r="F15" s="5"/>
      <c r="G15" s="5"/>
      <c r="H15" s="5"/>
      <c r="I15" s="5"/>
    </row>
    <row r="16" spans="2:17">
      <c r="B16" s="5"/>
      <c r="C16" s="5"/>
      <c r="D16" s="5"/>
      <c r="E16" s="5"/>
      <c r="F16" s="5"/>
      <c r="G16" s="5"/>
      <c r="H16" s="5"/>
      <c r="I16" s="5"/>
    </row>
  </sheetData>
  <mergeCells count="1">
    <mergeCell ref="C3:E4"/>
  </mergeCells>
  <dataValidations count="1">
    <dataValidation type="list" allowBlank="1" showInputMessage="1" showErrorMessage="1" sqref="E5">
      <formula1>"Sale,Purchase"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K9"/>
  <sheetViews>
    <sheetView showGridLines="0" workbookViewId="0"/>
  </sheetViews>
  <sheetFormatPr defaultRowHeight="15"/>
  <cols>
    <col min="3" max="3" width="7.7109375" customWidth="1"/>
    <col min="4" max="4" width="13.28515625" customWidth="1"/>
    <col min="5" max="5" width="12" customWidth="1"/>
    <col min="6" max="6" width="6.42578125" customWidth="1"/>
    <col min="7" max="7" width="7.42578125" customWidth="1"/>
  </cols>
  <sheetData>
    <row r="3" spans="1:11">
      <c r="A3" s="3"/>
      <c r="B3" s="3"/>
      <c r="C3" s="3"/>
      <c r="D3" s="3"/>
      <c r="E3" s="3"/>
      <c r="F3" s="3"/>
      <c r="G3" s="3"/>
      <c r="H3" s="3"/>
      <c r="I3" s="3"/>
      <c r="J3" s="3"/>
      <c r="K3" s="3"/>
    </row>
    <row r="4" spans="1:11">
      <c r="A4" s="3"/>
      <c r="B4" s="3"/>
      <c r="C4" s="28" t="s">
        <v>17</v>
      </c>
      <c r="D4" s="28"/>
      <c r="E4" s="28"/>
      <c r="F4" s="28"/>
      <c r="G4" s="28"/>
      <c r="H4" s="3"/>
      <c r="I4" s="3"/>
      <c r="J4" s="3"/>
      <c r="K4" s="3"/>
    </row>
    <row r="5" spans="1:11">
      <c r="A5" s="3"/>
      <c r="B5" s="3"/>
      <c r="C5" s="28"/>
      <c r="D5" s="28"/>
      <c r="E5" s="28"/>
      <c r="F5" s="28"/>
      <c r="G5" s="28"/>
      <c r="H5" s="3"/>
      <c r="I5" s="3"/>
      <c r="J5" s="3"/>
      <c r="K5" s="3"/>
    </row>
    <row r="6" spans="1:11">
      <c r="A6" s="3"/>
      <c r="B6" s="3"/>
      <c r="C6" t="s">
        <v>7</v>
      </c>
      <c r="D6" t="s">
        <v>8</v>
      </c>
      <c r="E6" t="s">
        <v>9</v>
      </c>
      <c r="F6" t="s">
        <v>10</v>
      </c>
      <c r="G6" t="s">
        <v>11</v>
      </c>
      <c r="H6" s="3"/>
      <c r="I6" s="3"/>
      <c r="J6" s="3"/>
      <c r="K6" s="3"/>
    </row>
    <row r="7" spans="1:11">
      <c r="A7" s="3"/>
      <c r="B7" s="3"/>
      <c r="H7" s="3"/>
      <c r="I7" s="3"/>
      <c r="J7" s="3"/>
      <c r="K7" s="3"/>
    </row>
    <row r="9" spans="1:11">
      <c r="C9" s="3"/>
      <c r="D9" s="3"/>
      <c r="E9" s="3"/>
      <c r="F9" s="3"/>
      <c r="G9" s="3"/>
    </row>
  </sheetData>
  <mergeCells count="1">
    <mergeCell ref="C4:G5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C4:G6"/>
  <sheetViews>
    <sheetView showGridLines="0" workbookViewId="0"/>
  </sheetViews>
  <sheetFormatPr defaultRowHeight="15"/>
  <cols>
    <col min="4" max="4" width="10.7109375" customWidth="1"/>
    <col min="5" max="5" width="11.140625" bestFit="1" customWidth="1"/>
  </cols>
  <sheetData>
    <row r="4" spans="3:7">
      <c r="C4" s="28" t="s">
        <v>18</v>
      </c>
      <c r="D4" s="28"/>
      <c r="E4" s="28"/>
      <c r="F4" s="28"/>
      <c r="G4" s="28"/>
    </row>
    <row r="5" spans="3:7">
      <c r="C5" s="28"/>
      <c r="D5" s="28"/>
      <c r="E5" s="28"/>
      <c r="F5" s="28"/>
      <c r="G5" s="28"/>
    </row>
    <row r="6" spans="3:7">
      <c r="C6" t="s">
        <v>7</v>
      </c>
      <c r="D6" t="s">
        <v>8</v>
      </c>
      <c r="E6" t="s">
        <v>9</v>
      </c>
      <c r="F6" t="s">
        <v>10</v>
      </c>
      <c r="G6" t="s">
        <v>11</v>
      </c>
    </row>
  </sheetData>
  <mergeCells count="1">
    <mergeCell ref="C4:G5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C4:I23"/>
  <sheetViews>
    <sheetView showGridLines="0" workbookViewId="0"/>
  </sheetViews>
  <sheetFormatPr defaultRowHeight="15"/>
  <cols>
    <col min="3" max="3" width="11.140625" bestFit="1" customWidth="1"/>
    <col min="4" max="4" width="13.140625" bestFit="1" customWidth="1"/>
    <col min="5" max="6" width="12.28515625" bestFit="1" customWidth="1"/>
    <col min="7" max="7" width="12.140625" bestFit="1" customWidth="1"/>
    <col min="8" max="8" width="12.28515625" customWidth="1"/>
    <col min="9" max="9" width="9.140625" hidden="1" customWidth="1"/>
  </cols>
  <sheetData>
    <row r="4" spans="3:9">
      <c r="C4" s="28" t="s">
        <v>14</v>
      </c>
      <c r="D4" s="28"/>
      <c r="E4" s="28"/>
      <c r="F4" s="28"/>
    </row>
    <row r="5" spans="3:9">
      <c r="C5" s="28"/>
      <c r="D5" s="28"/>
      <c r="E5" s="28"/>
      <c r="F5" s="28"/>
    </row>
    <row r="6" spans="3:9">
      <c r="C6" t="s">
        <v>9</v>
      </c>
      <c r="D6" t="s">
        <v>12</v>
      </c>
      <c r="E6" t="s">
        <v>13</v>
      </c>
      <c r="F6" t="s">
        <v>14</v>
      </c>
      <c r="I6" t="s">
        <v>15</v>
      </c>
    </row>
    <row r="7" spans="3:9">
      <c r="C7" s="12"/>
      <c r="D7" s="15">
        <f>SUMIF(Table1[[#All],[Item]],Table3[[#This Row],[Item]],Table1[[#All],[Qty]])</f>
        <v>0</v>
      </c>
      <c r="E7" s="16">
        <f>SUMIF(Table2[[#All],[Item]],Table3[[#This Row],[Item]],Table2[[#All],[Qty]])</f>
        <v>0</v>
      </c>
      <c r="F7" s="16">
        <f>Table3[[#This Row],[P Qty]]-Table3[[#This Row],[S Qty]]</f>
        <v>0</v>
      </c>
      <c r="I7" t="str">
        <f>"&lt;&gt;"</f>
        <v>&lt;&gt;</v>
      </c>
    </row>
    <row r="8" spans="3:9">
      <c r="C8" s="1"/>
      <c r="D8" s="15">
        <f>SUMIF(Table1[[#All],[Item]],Table3[[#This Row],[Item]],Table1[[#All],[Qty]])</f>
        <v>0</v>
      </c>
      <c r="E8" s="16">
        <f>SUMIF(Table2[[#All],[Item]],Table3[[#This Row],[Item]],Table2[[#All],[Qty]])</f>
        <v>0</v>
      </c>
      <c r="F8" s="16">
        <f>Table3[[#This Row],[P Qty]]-Table3[[#This Row],[S Qty]]</f>
        <v>0</v>
      </c>
    </row>
    <row r="9" spans="3:9">
      <c r="C9" s="1"/>
      <c r="D9" s="15">
        <f>SUMIF(Table1[[#All],[Item]],Table3[[#This Row],[Item]],Table1[[#All],[Qty]])</f>
        <v>0</v>
      </c>
      <c r="E9" s="16">
        <f>SUMIF(Table2[[#All],[Item]],Table3[[#This Row],[Item]],Table2[[#All],[Qty]])</f>
        <v>0</v>
      </c>
      <c r="F9" s="16">
        <f>Table3[[#This Row],[P Qty]]-Table3[[#This Row],[S Qty]]</f>
        <v>0</v>
      </c>
    </row>
    <row r="10" spans="3:9">
      <c r="C10" s="1"/>
      <c r="D10" s="15">
        <f>SUMIF(Table1[[#All],[Item]],Table3[[#This Row],[Item]],Table1[[#All],[Qty]])</f>
        <v>0</v>
      </c>
      <c r="E10" s="16">
        <f>SUMIF(Table2[[#All],[Item]],Table3[[#This Row],[Item]],Table2[[#All],[Qty]])</f>
        <v>0</v>
      </c>
      <c r="F10" s="16">
        <f>Table3[[#This Row],[P Qty]]-Table3[[#This Row],[S Qty]]</f>
        <v>0</v>
      </c>
    </row>
    <row r="11" spans="3:9">
      <c r="C11" s="1"/>
      <c r="D11" s="15">
        <f>SUMIF(Table1[[#All],[Item]],Table3[[#This Row],[Item]],Table1[[#All],[Qty]])</f>
        <v>0</v>
      </c>
      <c r="E11" s="16">
        <f>SUMIF(Table2[[#All],[Item]],Table3[[#This Row],[Item]],Table2[[#All],[Qty]])</f>
        <v>0</v>
      </c>
      <c r="F11" s="16">
        <f>Table3[[#This Row],[P Qty]]-Table3[[#This Row],[S Qty]]</f>
        <v>0</v>
      </c>
    </row>
    <row r="12" spans="3:9">
      <c r="C12" s="17"/>
      <c r="D12" s="15">
        <f>SUMIF(Table1[[#All],[Item]],Table3[[#This Row],[Item]],Table1[[#All],[Qty]])</f>
        <v>0</v>
      </c>
      <c r="E12" s="16">
        <f>SUMIF(Table2[[#All],[Item]],Table3[[#This Row],[Item]],Table2[[#All],[Qty]])</f>
        <v>0</v>
      </c>
      <c r="F12" s="16">
        <f>Table3[[#This Row],[P Qty]]-Table3[[#This Row],[S Qty]]</f>
        <v>0</v>
      </c>
    </row>
    <row r="13" spans="3:9">
      <c r="C13" s="17"/>
      <c r="D13" s="15">
        <f>SUMIF(Table1[[#All],[Item]],Table3[[#This Row],[Item]],Table1[[#All],[Qty]])</f>
        <v>0</v>
      </c>
      <c r="E13" s="16">
        <f>SUMIF(Table2[[#All],[Item]],Table3[[#This Row],[Item]],Table2[[#All],[Qty]])</f>
        <v>0</v>
      </c>
      <c r="F13" s="16">
        <f>Table3[[#This Row],[P Qty]]-Table3[[#This Row],[S Qty]]</f>
        <v>0</v>
      </c>
    </row>
    <row r="14" spans="3:9">
      <c r="C14" s="17"/>
      <c r="D14" s="15">
        <f>SUMIF(Table1[[#All],[Item]],Table3[[#This Row],[Item]],Table1[[#All],[Qty]])</f>
        <v>0</v>
      </c>
      <c r="E14" s="16">
        <f>SUMIF(Table2[[#All],[Item]],Table3[[#This Row],[Item]],Table2[[#All],[Qty]])</f>
        <v>0</v>
      </c>
      <c r="F14" s="16">
        <f>Table3[[#This Row],[P Qty]]-Table3[[#This Row],[S Qty]]</f>
        <v>0</v>
      </c>
    </row>
    <row r="15" spans="3:9">
      <c r="C15" s="17"/>
      <c r="D15" s="15">
        <f>SUMIF(Table1[[#All],[Item]],Table3[[#This Row],[Item]],Table1[[#All],[Qty]])</f>
        <v>0</v>
      </c>
      <c r="E15" s="16">
        <f>SUMIF(Table2[[#All],[Item]],Table3[[#This Row],[Item]],Table2[[#All],[Qty]])</f>
        <v>0</v>
      </c>
      <c r="F15" s="16">
        <f>Table3[[#This Row],[P Qty]]-Table3[[#This Row],[S Qty]]</f>
        <v>0</v>
      </c>
    </row>
    <row r="16" spans="3:9">
      <c r="C16" s="17"/>
      <c r="D16" s="15">
        <f>SUMIF(Table1[[#All],[Item]],Table3[[#This Row],[Item]],Table1[[#All],[Qty]])</f>
        <v>0</v>
      </c>
      <c r="E16" s="16">
        <f>SUMIF(Table2[[#All],[Item]],Table3[[#This Row],[Item]],Table2[[#All],[Qty]])</f>
        <v>0</v>
      </c>
      <c r="F16" s="16">
        <f>Table3[[#This Row],[P Qty]]-Table3[[#This Row],[S Qty]]</f>
        <v>0</v>
      </c>
    </row>
    <row r="17" spans="3:7">
      <c r="C17" s="17"/>
      <c r="D17" s="15">
        <f>SUMIF(Table1[[#All],[Item]],Table3[[#This Row],[Item]],Table1[[#All],[Qty]])</f>
        <v>0</v>
      </c>
      <c r="E17" s="16">
        <f>SUMIF(Table2[[#All],[Item]],Table3[[#This Row],[Item]],Table2[[#All],[Qty]])</f>
        <v>0</v>
      </c>
      <c r="F17" s="16">
        <f>Table3[[#This Row],[P Qty]]-Table3[[#This Row],[S Qty]]</f>
        <v>0</v>
      </c>
    </row>
    <row r="18" spans="3:7">
      <c r="C18" s="17"/>
      <c r="D18" s="15">
        <f>SUMIF(Table1[[#All],[Item]],Table3[[#This Row],[Item]],Table1[[#All],[Qty]])</f>
        <v>0</v>
      </c>
      <c r="E18" s="16">
        <f>SUMIF(Table2[[#All],[Item]],Table3[[#This Row],[Item]],Table2[[#All],[Qty]])</f>
        <v>0</v>
      </c>
      <c r="F18" s="16">
        <f>Table3[[#This Row],[P Qty]]-Table3[[#This Row],[S Qty]]</f>
        <v>0</v>
      </c>
    </row>
    <row r="19" spans="3:7">
      <c r="C19" s="17"/>
      <c r="D19" s="15">
        <f>SUMIF(Table1[[#All],[Item]],Table3[[#This Row],[Item]],Table1[[#All],[Qty]])</f>
        <v>0</v>
      </c>
      <c r="E19" s="16">
        <f>SUMIF(Table2[[#All],[Item]],Table3[[#This Row],[Item]],Table2[[#All],[Qty]])</f>
        <v>0</v>
      </c>
      <c r="F19" s="16">
        <f>Table3[[#This Row],[P Qty]]-Table3[[#This Row],[S Qty]]</f>
        <v>0</v>
      </c>
      <c r="G19" s="2"/>
    </row>
    <row r="20" spans="3:7">
      <c r="C20" s="17"/>
      <c r="D20" s="15">
        <f>SUMIF(Table1[[#All],[Item]],Table3[[#This Row],[Item]],Table1[[#All],[Qty]])</f>
        <v>0</v>
      </c>
      <c r="E20" s="16">
        <f>SUMIF(Table2[[#All],[Item]],Table3[[#This Row],[Item]],Table2[[#All],[Qty]])</f>
        <v>0</v>
      </c>
      <c r="F20" s="16">
        <f>Table3[[#This Row],[P Qty]]-Table3[[#This Row],[S Qty]]</f>
        <v>0</v>
      </c>
      <c r="G20" s="2"/>
    </row>
    <row r="21" spans="3:7">
      <c r="C21" s="17"/>
      <c r="D21" s="15">
        <f>SUMIF(Table1[[#All],[Item]],Table3[[#This Row],[Item]],Table1[[#All],[Qty]])</f>
        <v>0</v>
      </c>
      <c r="E21" s="16">
        <f>SUMIF(Table2[[#All],[Item]],Table3[[#This Row],[Item]],Table2[[#All],[Qty]])</f>
        <v>0</v>
      </c>
      <c r="F21" s="16">
        <f>Table3[[#This Row],[P Qty]]-Table3[[#This Row],[S Qty]]</f>
        <v>0</v>
      </c>
      <c r="G21" s="2"/>
    </row>
    <row r="22" spans="3:7">
      <c r="C22" s="17"/>
      <c r="D22" s="15">
        <f>SUMIF(Table1[[#All],[Item]],Table3[[#This Row],[Item]],Table1[[#All],[Qty]])</f>
        <v>0</v>
      </c>
      <c r="E22" s="16">
        <f>SUMIF(Table2[[#All],[Item]],Table3[[#This Row],[Item]],Table2[[#All],[Qty]])</f>
        <v>0</v>
      </c>
      <c r="F22" s="16">
        <f>Table3[[#This Row],[P Qty]]-Table3[[#This Row],[S Qty]]</f>
        <v>0</v>
      </c>
      <c r="G22" s="2"/>
    </row>
    <row r="23" spans="3:7">
      <c r="C23" s="17"/>
      <c r="D23" s="15">
        <f>SUMIF(Table1[[#All],[Item]],Table3[[#This Row],[Item]],Table1[[#All],[Qty]])</f>
        <v>0</v>
      </c>
      <c r="E23" s="16">
        <f>SUMIF(Table2[[#All],[Item]],Table3[[#This Row],[Item]],Table2[[#All],[Qty]])</f>
        <v>0</v>
      </c>
      <c r="F23" s="16">
        <f>Table3[[#This Row],[P Qty]]-Table3[[#This Row],[S Qty]]</f>
        <v>0</v>
      </c>
    </row>
  </sheetData>
  <mergeCells count="1">
    <mergeCell ref="C4:F5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Home</vt:lpstr>
      <vt:lpstr>Purchase</vt:lpstr>
      <vt:lpstr>Sale</vt:lpstr>
      <vt:lpstr>Stock</vt:lpstr>
      <vt:lpstr>Stock!Criteria</vt:lpstr>
      <vt:lpstr>Stock!Extract</vt:lpstr>
      <vt:lpstr>itemlist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Shreyas</dc:creator>
  <cp:lastModifiedBy>Shreyas</cp:lastModifiedBy>
  <cp:lastPrinted>2023-11-20T08:14:37Z</cp:lastPrinted>
  <dcterms:created xsi:type="dcterms:W3CDTF">2023-11-20T04:53:38Z</dcterms:created>
  <dcterms:modified xsi:type="dcterms:W3CDTF">2023-11-20T13:53:28Z</dcterms:modified>
</cp:coreProperties>
</file>